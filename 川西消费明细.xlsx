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消费明细" sheetId="1" r:id="rId1"/>
    <sheet name="分类汇总" sheetId="2" r:id="rId2"/>
  </sheets>
  <definedNames>
    <definedName name="_xlnm._FilterDatabase" localSheetId="0" hidden="1">消费明细!$A$2:$E$13</definedName>
  </definedNames>
  <calcPr calcId="124519" fullCalcOnLoad="1"/>
</workbook>
</file>

<file path=xl/sharedStrings.xml><?xml version="1.0" encoding="utf-8"?>
<sst xmlns="http://schemas.openxmlformats.org/spreadsheetml/2006/main" count="58" uniqueCount="35">
  <si>
    <t>川西 9 日行程消费明细</t>
  </si>
  <si>
    <t>序号</t>
  </si>
  <si>
    <t>用途</t>
  </si>
  <si>
    <t>分类</t>
  </si>
  <si>
    <t>金额（元）</t>
  </si>
  <si>
    <t>备注</t>
  </si>
  <si>
    <t>厦门-成都</t>
  </si>
  <si>
    <t>机票</t>
  </si>
  <si>
    <t/>
  </si>
  <si>
    <t>成都-厦门</t>
  </si>
  <si>
    <t>29号-1号 九寨沟民宿</t>
  </si>
  <si>
    <t>住宿</t>
  </si>
  <si>
    <t>1号-3号酒店</t>
  </si>
  <si>
    <t>26号-28号 四姑娘山民宿</t>
  </si>
  <si>
    <t>25号晚酒店</t>
  </si>
  <si>
    <t>28号晚酒店</t>
  </si>
  <si>
    <t>四姑娘山门票</t>
  </si>
  <si>
    <t>门票</t>
  </si>
  <si>
    <t>熊猫基地</t>
  </si>
  <si>
    <t>成都-四姑娘山大巴</t>
  </si>
  <si>
    <t>当地交通</t>
  </si>
  <si>
    <t>分类为推断：按小程序说明，大巴归「当地交通」</t>
  </si>
  <si>
    <t>pocket租赁</t>
  </si>
  <si>
    <t>其他</t>
  </si>
  <si>
    <t>合计</t>
  </si>
  <si>
    <t>共 11 笔</t>
  </si>
  <si>
    <t>分类小计与人均分摊</t>
  </si>
  <si>
    <t>笔数</t>
  </si>
  <si>
    <t>占比</t>
  </si>
  <si>
    <t>高铁</t>
  </si>
  <si>
    <t>餐饮</t>
  </si>
  <si>
    <t>分摊人数</t>
  </si>
  <si>
    <t>人（与小程序 costs.shareCount 一致）</t>
  </si>
  <si>
    <t>人均分摊</t>
  </si>
  <si>
    <t>元 / 人</t>
  </si>
</sst>
</file>

<file path=xl/styles.xml><?xml version="1.0" encoding="utf-8"?>
<styleSheet xmlns="http://schemas.openxmlformats.org/spreadsheetml/2006/main">
  <numFmts count="2">
    <numFmt numFmtId="164" formatCode="¥#,##0.00"/>
    <numFmt numFmtId="165" formatCode="0.00%"/>
  </numFmts>
  <fonts count="8">
    <font>
      <sz val="11"/>
      <color theme="1"/>
      <name val="Calibri"/>
      <family val="2"/>
      <scheme val="minor"/>
    </font>
    <font>
      <b/>
      <sz val="14"/>
      <color rgb="FF1E6B5A"/>
      <name val="微软雅黑"/>
      <family val="2"/>
    </font>
    <font>
      <b/>
      <sz val="11"/>
      <color rgb="FFFFFFFF"/>
      <name val="微软雅黑"/>
      <family val="2"/>
    </font>
    <font>
      <sz val="11"/>
      <color rgb="FF22302E"/>
      <name val="微软雅黑"/>
      <family val="2"/>
    </font>
    <font>
      <sz val="10"/>
      <color rgb="FF5A6B66"/>
      <name val="微软雅黑"/>
      <family val="2"/>
    </font>
    <font>
      <b/>
      <sz val="11"/>
      <color rgb="FF1E6B5A"/>
      <name val="微软雅黑"/>
      <family val="2"/>
    </font>
    <font>
      <b/>
      <sz val="12"/>
      <color rgb="FFB4552D"/>
      <name val="微软雅黑"/>
      <family val="2"/>
    </font>
    <font>
      <sz val="11"/>
      <color rgb="FF8C9A94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F7F5EF"/>
        <bgColor indexed="64"/>
      </patternFill>
    </fill>
    <fill>
      <patternFill patternType="solid">
        <fgColor rgb="FF1E6B5A"/>
        <bgColor indexed="64"/>
      </patternFill>
    </fill>
    <fill>
      <patternFill patternType="solid">
        <fgColor rgb="FFFBFAF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4E1D5"/>
      </bottom>
      <diagonal/>
    </border>
    <border>
      <left style="thin">
        <color rgb="FF1E6B5A"/>
      </left>
      <right style="thin">
        <color rgb="FF1E6B5A"/>
      </right>
      <top style="thin">
        <color rgb="FF1E6B5A"/>
      </top>
      <bottom style="thin">
        <color rgb="FF1E6B5A"/>
      </bottom>
      <diagonal/>
    </border>
    <border>
      <left style="thin">
        <color rgb="FFE4E1D5"/>
      </left>
      <right style="thin">
        <color rgb="FFE4E1D5"/>
      </right>
      <top style="thin">
        <color rgb="FFE4E1D5"/>
      </top>
      <bottom style="thin">
        <color rgb="FFE4E1D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164" fontId="3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right" vertical="center"/>
    </xf>
    <xf numFmtId="164" fontId="6" fillId="2" borderId="3" xfId="0" applyNumberFormat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left" vertical="center"/>
    </xf>
    <xf numFmtId="165" fontId="3" fillId="0" borderId="3" xfId="0" applyNumberFormat="1" applyFont="1" applyBorder="1" applyAlignment="1">
      <alignment horizontal="right" vertical="center"/>
    </xf>
    <xf numFmtId="164" fontId="7" fillId="0" borderId="3" xfId="0" applyNumberFormat="1" applyFont="1" applyBorder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165" fontId="5" fillId="2" borderId="3" xfId="0" applyNumberFormat="1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164" fontId="6" fillId="4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1">
    <dxf>
      <font>
        <color rgb="FF8C9A94"/>
      </font>
      <numFmt numFmtId="164" formatCode="¥#,##0.00"/>
      <border>
        <left style="thin">
          <color rgb="FFE4E1D5"/>
        </left>
        <right style="thin">
          <color rgb="FFE4E1D5"/>
        </right>
        <top style="thin">
          <color rgb="FFE4E1D5"/>
        </top>
        <bottom style="thin">
          <color rgb="FFE4E1D5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6.7109375" customWidth="1"/>
    <col min="2" max="2" width="26.7109375" customWidth="1"/>
    <col min="3" max="3" width="12.7109375" customWidth="1"/>
    <col min="4" max="4" width="14.7109375" customWidth="1"/>
    <col min="5" max="5" width="34.7109375" customWidth="1"/>
  </cols>
  <sheetData>
    <row r="1" spans="1:5" ht="26" customHeight="1">
      <c r="A1" s="1" t="s">
        <v>0</v>
      </c>
      <c r="B1" s="1"/>
      <c r="C1" s="1"/>
      <c r="D1" s="1"/>
      <c r="E1" s="1"/>
    </row>
    <row r="2" spans="1:5" ht="2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1</v>
      </c>
      <c r="B3" s="4" t="s">
        <v>6</v>
      </c>
      <c r="C3" s="4" t="s">
        <v>7</v>
      </c>
      <c r="D3" s="5">
        <v>1480</v>
      </c>
      <c r="E3" s="6" t="s">
        <v>8</v>
      </c>
    </row>
    <row r="4" spans="1:5">
      <c r="A4" s="3">
        <v>2</v>
      </c>
      <c r="B4" s="4" t="s">
        <v>9</v>
      </c>
      <c r="C4" s="4" t="s">
        <v>7</v>
      </c>
      <c r="D4" s="5">
        <v>1380</v>
      </c>
      <c r="E4" s="6" t="s">
        <v>8</v>
      </c>
    </row>
    <row r="5" spans="1:5">
      <c r="A5" s="3">
        <v>3</v>
      </c>
      <c r="B5" s="4" t="s">
        <v>10</v>
      </c>
      <c r="C5" s="4" t="s">
        <v>11</v>
      </c>
      <c r="D5" s="5">
        <v>567</v>
      </c>
      <c r="E5" s="6" t="s">
        <v>8</v>
      </c>
    </row>
    <row r="6" spans="1:5">
      <c r="A6" s="3">
        <v>4</v>
      </c>
      <c r="B6" s="4" t="s">
        <v>12</v>
      </c>
      <c r="C6" s="4" t="s">
        <v>11</v>
      </c>
      <c r="D6" s="5">
        <v>547</v>
      </c>
      <c r="E6" s="6" t="s">
        <v>8</v>
      </c>
    </row>
    <row r="7" spans="1:5">
      <c r="A7" s="3">
        <v>5</v>
      </c>
      <c r="B7" s="4" t="s">
        <v>13</v>
      </c>
      <c r="C7" s="4" t="s">
        <v>11</v>
      </c>
      <c r="D7" s="5">
        <v>516</v>
      </c>
      <c r="E7" s="6" t="s">
        <v>8</v>
      </c>
    </row>
    <row r="8" spans="1:5">
      <c r="A8" s="3">
        <v>6</v>
      </c>
      <c r="B8" s="4" t="s">
        <v>14</v>
      </c>
      <c r="C8" s="4" t="s">
        <v>11</v>
      </c>
      <c r="D8" s="5">
        <v>195</v>
      </c>
      <c r="E8" s="6" t="s">
        <v>8</v>
      </c>
    </row>
    <row r="9" spans="1:5">
      <c r="A9" s="3">
        <v>7</v>
      </c>
      <c r="B9" s="4" t="s">
        <v>15</v>
      </c>
      <c r="C9" s="4" t="s">
        <v>11</v>
      </c>
      <c r="D9" s="5">
        <v>174</v>
      </c>
      <c r="E9" s="6" t="s">
        <v>8</v>
      </c>
    </row>
    <row r="10" spans="1:5">
      <c r="A10" s="3">
        <v>8</v>
      </c>
      <c r="B10" s="4" t="s">
        <v>16</v>
      </c>
      <c r="C10" s="4" t="s">
        <v>17</v>
      </c>
      <c r="D10" s="5">
        <v>400</v>
      </c>
      <c r="E10" s="6" t="s">
        <v>8</v>
      </c>
    </row>
    <row r="11" spans="1:5">
      <c r="A11" s="3">
        <v>9</v>
      </c>
      <c r="B11" s="4" t="s">
        <v>18</v>
      </c>
      <c r="C11" s="4" t="s">
        <v>17</v>
      </c>
      <c r="D11" s="5">
        <v>170</v>
      </c>
      <c r="E11" s="6" t="s">
        <v>8</v>
      </c>
    </row>
    <row r="12" spans="1:5">
      <c r="A12" s="3">
        <v>10</v>
      </c>
      <c r="B12" s="4" t="s">
        <v>19</v>
      </c>
      <c r="C12" s="4" t="s">
        <v>20</v>
      </c>
      <c r="D12" s="5">
        <v>248</v>
      </c>
      <c r="E12" s="6" t="s">
        <v>21</v>
      </c>
    </row>
    <row r="13" spans="1:5">
      <c r="A13" s="3">
        <v>11</v>
      </c>
      <c r="B13" s="4" t="s">
        <v>22</v>
      </c>
      <c r="C13" s="4" t="s">
        <v>23</v>
      </c>
      <c r="D13" s="5">
        <v>262</v>
      </c>
      <c r="E13" s="6" t="s">
        <v>8</v>
      </c>
    </row>
    <row r="14" spans="1:5">
      <c r="A14" s="7" t="s">
        <v>24</v>
      </c>
      <c r="B14" s="7"/>
      <c r="C14" s="7"/>
      <c r="D14" s="8">
        <f>SUM(D3:D13)</f>
        <v>5939</v>
      </c>
      <c r="E14" s="9" t="s">
        <v>25</v>
      </c>
    </row>
  </sheetData>
  <autoFilter ref="A2:E13"/>
  <mergeCells count="2">
    <mergeCell ref="A1:E1"/>
    <mergeCell ref="A14:C14"/>
  </mergeCells>
  <dataValidations count="1">
    <dataValidation type="list" allowBlank="1" showInputMessage="1" showErrorMessage="1" errorTitle="分类不合法" error="只能选小程序里的 7 大类" sqref="C3:C13">
      <formula1>"机票,高铁,当地交通,门票,住宿,餐饮,其他"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2" width="14.7109375" customWidth="1"/>
    <col min="3" max="3" width="8.7109375" customWidth="1"/>
    <col min="4" max="4" width="10.7109375" customWidth="1"/>
  </cols>
  <sheetData>
    <row r="1" spans="1:4" ht="26" customHeight="1">
      <c r="A1" s="1" t="s">
        <v>26</v>
      </c>
      <c r="B1" s="1"/>
      <c r="C1" s="1"/>
      <c r="D1" s="1"/>
    </row>
    <row r="2" spans="1:4" ht="22" customHeight="1">
      <c r="A2" s="2" t="s">
        <v>3</v>
      </c>
      <c r="B2" s="2" t="s">
        <v>4</v>
      </c>
      <c r="C2" s="2" t="s">
        <v>27</v>
      </c>
      <c r="D2" s="2" t="s">
        <v>28</v>
      </c>
    </row>
    <row r="3" spans="1:4">
      <c r="A3" s="4" t="s">
        <v>7</v>
      </c>
      <c r="B3" s="5">
        <f>SUMIF('消费明细'!$C$3:$C$13,A3,'消费明细'!$D$3:$D$13)</f>
        <v>2860</v>
      </c>
      <c r="C3" s="3">
        <f>COUNTIF('消费明细'!$C$3:$C$13,A3)</f>
        <v>2</v>
      </c>
      <c r="D3" s="10">
        <f>IF(OR($B$10="",$B$10=0),"",B3/$B$10)</f>
        <v>0.4815625526182859</v>
      </c>
    </row>
    <row r="4" spans="1:4">
      <c r="A4" s="4" t="s">
        <v>29</v>
      </c>
      <c r="B4" s="11">
        <f>SUMIF('消费明细'!$C$3:$C$13,A4,'消费明细'!$D$3:$D$13)</f>
        <v>0</v>
      </c>
      <c r="C4" s="3">
        <f>COUNTIF('消费明细'!$C$3:$C$13,A4)</f>
        <v>0</v>
      </c>
      <c r="D4" s="10">
        <f>IF(OR($B$10="",$B$10=0),"",B4/$B$10)</f>
        <v>0.0</v>
      </c>
    </row>
    <row r="5" spans="1:4">
      <c r="A5" s="4" t="s">
        <v>20</v>
      </c>
      <c r="B5" s="5">
        <f>SUMIF('消费明细'!$C$3:$C$13,A5,'消费明细'!$D$3:$D$13)</f>
        <v>248</v>
      </c>
      <c r="C5" s="3">
        <f>COUNTIF('消费明细'!$C$3:$C$13,A5)</f>
        <v>1</v>
      </c>
      <c r="D5" s="10">
        <f>IF(OR($B$10="",$B$10=0),"",B5/$B$10)</f>
        <v>0.041757871695571644</v>
      </c>
    </row>
    <row r="6" spans="1:4">
      <c r="A6" s="4" t="s">
        <v>17</v>
      </c>
      <c r="B6" s="5">
        <f>SUMIF('消费明细'!$C$3:$C$13,A6,'消费明细'!$D$3:$D$13)</f>
        <v>570</v>
      </c>
      <c r="C6" s="3">
        <f>COUNTIF('消费明细'!$C$3:$C$13,A6)</f>
        <v>2</v>
      </c>
      <c r="D6" s="10">
        <f>IF(OR($B$10="",$B$10=0),"",B6/$B$10)</f>
        <v>0.09597575349385419</v>
      </c>
    </row>
    <row r="7" spans="1:4">
      <c r="A7" s="4" t="s">
        <v>11</v>
      </c>
      <c r="B7" s="5">
        <f>SUMIF('消费明细'!$C$3:$C$13,A7,'消费明细'!$D$3:$D$13)</f>
        <v>1999</v>
      </c>
      <c r="C7" s="3">
        <f>COUNTIF('消费明细'!$C$3:$C$13,A7)</f>
        <v>5</v>
      </c>
      <c r="D7" s="10">
        <f>IF(OR($B$10="",$B$10=0),"",B7/$B$10)</f>
        <v>0.3365886512880956</v>
      </c>
    </row>
    <row r="8" spans="1:4">
      <c r="A8" s="4" t="s">
        <v>30</v>
      </c>
      <c r="B8" s="11">
        <f>SUMIF('消费明细'!$C$3:$C$13,A8,'消费明细'!$D$3:$D$13)</f>
        <v>0</v>
      </c>
      <c r="C8" s="3">
        <f>COUNTIF('消费明细'!$C$3:$C$13,A8)</f>
        <v>0</v>
      </c>
      <c r="D8" s="10">
        <f>IF(OR($B$10="",$B$10=0),"",B8/$B$10)</f>
        <v>0.0</v>
      </c>
    </row>
    <row r="9" spans="1:4">
      <c r="A9" s="4" t="s">
        <v>23</v>
      </c>
      <c r="B9" s="5">
        <f>SUMIF('消费明细'!$C$3:$C$13,A9,'消费明细'!$D$3:$D$13)</f>
        <v>262</v>
      </c>
      <c r="C9" s="3">
        <f>COUNTIF('消费明细'!$C$3:$C$13,A9)</f>
        <v>1</v>
      </c>
      <c r="D9" s="10">
        <f>IF(OR($B$10="",$B$10=0),"",B9/$B$10)</f>
        <v>0.044115170904192626</v>
      </c>
    </row>
    <row r="10" spans="1:4">
      <c r="A10" s="7" t="s">
        <v>24</v>
      </c>
      <c r="B10" s="8">
        <f>SUM(B3:B9)</f>
        <v>5939</v>
      </c>
      <c r="C10" s="12">
        <f>SUM(C3:C9)</f>
        <v>11</v>
      </c>
      <c r="D10" s="13">
        <f>IF(OR($B$10="",$B$10=0),"",SUM(D3:D9))</f>
        <v>1.0</v>
      </c>
    </row>
    <row r="12" spans="1:4">
      <c r="A12" s="14" t="s">
        <v>31</v>
      </c>
      <c r="B12" s="15">
        <v>2</v>
      </c>
      <c r="C12" s="16" t="s">
        <v>32</v>
      </c>
      <c r="D12" s="16"/>
    </row>
    <row r="13" spans="1:4">
      <c r="A13" s="14" t="s">
        <v>33</v>
      </c>
      <c r="B13" s="17">
        <f>IF(OR(B12="",B12=0,B10=""),"",ROUND(B10/B12,2))</f>
        <v>2969.5</v>
      </c>
      <c r="C13" s="16" t="s">
        <v>34</v>
      </c>
      <c r="D13" s="16"/>
    </row>
  </sheetData>
  <mergeCells count="3">
    <mergeCell ref="A1:D1"/>
    <mergeCell ref="C12:D12"/>
    <mergeCell ref="C13:D13"/>
  </mergeCells>
  <conditionalFormatting sqref="B3:B9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消费明细</vt:lpstr>
      <vt:lpstr>分类汇总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川西 9 日行程消费明细</dc:title>
  <dc:creator/>
  <dc:description>照此逐笔录入小程序「花费统计」</dc:description>
  <cp:lastModifiedBy/>
  <dcterms:created xsi:type="dcterms:W3CDTF">2026-09-13T02:08:45Z</dcterms:created>
  <dcterms:modified xsi:type="dcterms:W3CDTF">2026-09-13T02:08:45Z</dcterms:modified>
</cp:coreProperties>
</file>